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af429195c0c3d8fb/Documents/"/>
    </mc:Choice>
  </mc:AlternateContent>
  <xr:revisionPtr revIDLastSave="0" documentId="8_{3BE995B9-5482-4F0A-BF89-E2BBB3AC8A95}" xr6:coauthVersionLast="47" xr6:coauthVersionMax="47" xr10:uidLastSave="{00000000-0000-0000-0000-000000000000}"/>
  <bookViews>
    <workbookView xWindow="-110" yWindow="-110" windowWidth="19420" windowHeight="11500" tabRatio="500" firstSheet="2" activeTab="3" xr2:uid="{00000000-000D-0000-FFFF-FFFF00000000}"/>
  </bookViews>
  <sheets>
    <sheet name="1-GWAS DATA" sheetId="2" r:id="rId1"/>
    <sheet name="2-GENE TABLE" sheetId="3" r:id="rId2"/>
    <sheet name="3-POPULATION CHART" sheetId="4" r:id="rId3"/>
    <sheet name="4-INTERPRETATION &amp; RESULTS" sheetId="5"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 i="4" l="1"/>
  <c r="B5" i="4"/>
  <c r="B4" i="4"/>
  <c r="B2" i="4"/>
  <c r="C4" i="3"/>
  <c r="C3" i="3"/>
</calcChain>
</file>

<file path=xl/sharedStrings.xml><?xml version="1.0" encoding="utf-8"?>
<sst xmlns="http://schemas.openxmlformats.org/spreadsheetml/2006/main" count="155" uniqueCount="75">
  <si>
    <t>Gene</t>
  </si>
  <si>
    <t>SNP / Variant (e.g. rs334)</t>
  </si>
  <si>
    <t>P-value</t>
  </si>
  <si>
    <t>Study (first author, year)</t>
  </si>
  <si>
    <t>Population / Ancestry</t>
  </si>
  <si>
    <t>Trait Reported</t>
  </si>
  <si>
    <t>Sample Size</t>
  </si>
  <si>
    <t>Source Link</t>
  </si>
  <si>
    <t>HBB</t>
  </si>
  <si>
    <t>African American</t>
  </si>
  <si>
    <t>Gene Name</t>
  </si>
  <si>
    <t>Role (Primary / Modifier)</t>
  </si>
  <si>
    <t>Number of Studies</t>
  </si>
  <si>
    <t>Population(s) Studied</t>
  </si>
  <si>
    <t>Function / Description</t>
  </si>
  <si>
    <t>Primary</t>
  </si>
  <si>
    <t>BCL11A</t>
  </si>
  <si>
    <t>Modifier</t>
  </si>
  <si>
    <t>HBS1L-MYB</t>
  </si>
  <si>
    <t>Population / Region</t>
  </si>
  <si>
    <t>Sub-Saharan African</t>
  </si>
  <si>
    <t>Interpretation &amp; Write-up Scaffold</t>
  </si>
  <si>
    <t>rs766432</t>
  </si>
  <si>
    <t>rs7606173</t>
  </si>
  <si>
    <t>rs1427407</t>
  </si>
  <si>
    <t>rs1896295</t>
  </si>
  <si>
    <t>rs10189857; rs6545816; rs6545817; rs1427407; rs7599488; rs1896294; rs766432; rs11886868; rs10195871; rs10172646; rs4671393; rs7584113; rs7557939; rs6706648; rs6738440; rs7565301; rs6729815; rs1896295; rs1896296; rs7606173</t>
  </si>
  <si>
    <t>rs9399137</t>
  </si>
  <si>
    <t>rs55634702</t>
  </si>
  <si>
    <t>rs66650371</t>
  </si>
  <si>
    <t>rs9389268</t>
  </si>
  <si>
    <t>rs9494145</t>
  </si>
  <si>
    <t>Milton JN, 2013</t>
  </si>
  <si>
    <t>Wonkam A , 2025</t>
  </si>
  <si>
    <t>Griffin PJ , 2014</t>
  </si>
  <si>
    <t>Mtatiro SN, 2014</t>
  </si>
  <si>
    <t>Rampersaud E , 2021</t>
  </si>
  <si>
    <t>Bhatnagar P , 2011</t>
  </si>
  <si>
    <t>Wonkam A, 2025</t>
  </si>
  <si>
    <t>Mtatiro SN , 2014</t>
  </si>
  <si>
    <t>Sickle cell anemia (haemolysis)</t>
  </si>
  <si>
    <t>Fetal hemoglobin levels in sickle cell anemia</t>
  </si>
  <si>
    <t>Hemoglobin A2 levels in sickle cell anemia</t>
  </si>
  <si>
    <t>Fetal hemoglobin in Sickle cell disease (HbSS or HbSB0)</t>
  </si>
  <si>
    <t>Fetal hemoglobin in Sickle cell disease (HbSS or HbSB0) (transfusion-adjusted)</t>
  </si>
  <si>
    <t>F-cell distribution in sickle cell anaemia</t>
  </si>
  <si>
    <t>Fetal hemoglobin in Sickle cell disease (HbSS or HbSB0) (conditional analysis)</t>
  </si>
  <si>
    <t>www.ncbi.nlm.nih.gov/pubmed/23406172</t>
  </si>
  <si>
    <t>www.ncbi.nlm.nih.gov/pubmed/40025045</t>
  </si>
  <si>
    <t>www.ncbi.nlm.nih.gov/pubmed/25042611</t>
  </si>
  <si>
    <t>www.ncbi.nlm.nih.gov/pubmed/25372704</t>
  </si>
  <si>
    <t>www.ncbi.nlm.nih.gov/pubmed/34283174</t>
  </si>
  <si>
    <t>www.ncbi.nlm.nih.gov/pubmed/21326311</t>
  </si>
  <si>
    <t>N/A</t>
  </si>
  <si>
    <t>Cameroonian, Tanzanian, Sub-Saharan African, African American</t>
  </si>
  <si>
    <t>HBB is the gene for production of normal hemoglobin. The HBB gene (hemoglobin subunit beta) provides instructions to make beta-globin, a part of the oxygen-carrying protein hemoglobin. A single base-pair change (point mutation) replaces the amino acid glutamic acid with valine in the beta-globin protein. The mutant gene HBS produces HBS hemoglobin which due to oxygen carrying incapacity causes RBCs to stiff and give them a sickle crescent shape. The GWAS data doesn't include HBB as primary gene as it was discovered way earlier.</t>
  </si>
  <si>
    <t>Encodes the beta-globin subunit of hemoglobin; the single point mutation (rs334, Glu6Val) causes red blood cells to sickle under low oxygen.</t>
  </si>
  <si>
    <t>Represses fetal hemoglobin (HbF) production; variants that lower BCL11A activity raises HbF and reduce disease severity.</t>
  </si>
  <si>
    <t>Intergenic region that regulates MYB expression, which in turn affects fetal hemoglobin switching timing.</t>
  </si>
  <si>
    <t>Tanzanian</t>
  </si>
  <si>
    <t>Cameroonian</t>
  </si>
  <si>
    <t>This chart shows where GWAS research on sickle cell modifier genes has been concentrated. It does not represent global sickle cell disease prevalence, which is also high in parts of South Asia, the Middle East, and the Mediterranean.</t>
  </si>
  <si>
    <t xml:space="preserve">   Across the 18 studies in this dataset (8 African American, 4 Sub-Saharan African, 2 Cameroonian, 4 Tanzanian), the rs334 sickle cell allele shows an average frequency of approximately 5% in African American populations, with notable variation across Sub-Saharan African groups, sometimes exceeding 10% in certain countries.</t>
  </si>
  <si>
    <t>Data for this project was sourced from five platforms: the GWAS Catalog (association data for BCL11A and HBS1L-MYB), GeneCards and NCBI Gene (gene function), OMIM (clinical and gene-level reference entries for HBB), ClinVar (variant pathogenicity), and dbSNP (the rs334 mutation record). GWAS Catalog searches were run separately for BCL11A and HBS1L-MYB, since HBB itself does not appear as a GWAS-discovered association — it was identified through classical clinical genetics prior to GWAS methodology and was instead documented from OMIM and dbSNP directly. After removing true duplicate rows and standardizing gene name labels for consistency, 18 rows were retained in 1_GWAS_Data (11 for BCL11A, 7 for HBS1L-MYB), within this project's target range of 15–30 rows. Rows with the same SNP but different p-values or studies were kept as distinct entries, since each represents an independent finding rather than a duplicate.</t>
  </si>
  <si>
    <t>HBB is the primary disease-causing gene, identified through classical clinical genetics rather than GWAS, reflected by its 0 GWAS studies in this dataset, since it predates genome-wide association methodology entirely. BCL11A and HBS1L-MYB act as modifier genes, regulating fetal hemoglobin levels and thereby explaining variation in disease severity between patients; they are supported by 11 and 7 GWAS studies respectively in this dataset.</t>
  </si>
  <si>
    <t>Of the 18 studies analyzed, African ancestries dominate the dataset: African American populations account for 8 studies, while Cameroonian, Tanzanian, and broader Sub-Saharan African populations together account for the remaining 10. Notably, no South Asian or Pakistani-specific studies appeared in this search; a finding that itself is significant, pointing to a clear underrepresentation of South Asian populations in current sickle cell disease genomics research, despite documented disease burden in the region.</t>
  </si>
  <si>
    <t>This project illustrates a core principle in disease genomics; a single causal mutation rarely tells the whole clinical story, modifier genes uncovered through population-level GWAS studies, explaining much of the variation in how a disease manifests between patients. It also highlights a broader pattern in genomic research itself: the populations studied are not evenly distributed, and findings from well-studied groups like African Americans and Sub-Saharan Africans don't automatically generalize to under-studied populations such as Pakistan's. Closing this gap matters beyond academic completeness as gene therapies increasingly rely on modifier-gene biology, understanding how these genes vary across all populations, not just the most-studied ones, will directly shape who current treatments can effectively help.</t>
  </si>
  <si>
    <t xml:space="preserve">Conclusion </t>
  </si>
  <si>
    <t>Key Insight</t>
  </si>
  <si>
    <t>Results; Population Chart</t>
  </si>
  <si>
    <t>Results; Gene Table</t>
  </si>
  <si>
    <t>Methodology</t>
  </si>
  <si>
    <t>Introduction</t>
  </si>
  <si>
    <t>HBB carries the disease-causing mutation, while BCL11A (supported by 11 GWAS studies) and HBS1L-MYB (supported by 7 GWAS studies) act as modifiers that explain why disease severity varies between patients — both working by regulating fetal hemoglobin levels, the same mechanism now being leveraged in FDA-approved gene therapies like Casgevy.*</t>
  </si>
  <si>
    <t>Sickle cell disease (SCD) is caused by a single point mutation in the HBB gene, replacing glutamic acid with valine and producing abnormal HbS hemoglobin that makes red blood cells stiff and sickle-shaped under low oxygen. While HBB is the primary causal gene, disease severity varies between patients due to modifier genes BCL11A and the HBS1L-MYB region, which regulate protective fetal hemoglobin (HbF) production into adulthood. This modifier biology underlies the newest sickle cell cures: the FDA-approved therapy Casgevy (exa-cel) and a newer CRISPR-Cas12a therapy (NEJM, April 2026; functional cure in 27 of 28 patients) both work by boosting fetal hemoglobin through the same pathway BCL11A and HBS1L-MYB naturally control. SCD was chosen for this project for its clarity as a model monogenic disorder and its regional relevance to Pakistan, where the disease is reported but remains significantly understudied. This gap was confirmed firsthand: a GWAS Catalog search for SCD and its modifier genes returned zero South Asian or Pakistani-specific studies out of 18 total reviewed.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</si>
</sst>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4"/>
      <color rgb="FF1F4E78"/>
      <name val="Arial"/>
      <charset val="1"/>
    </font>
    <font>
      <sz val="10"/>
      <name val="Arial"/>
      <charset val="1"/>
    </font>
    <font>
      <b/>
      <sz val="11"/>
      <color rgb="FFFFFFFF"/>
      <name val="Arial"/>
      <charset val="1"/>
    </font>
    <font>
      <i/>
      <sz val="9"/>
      <color rgb="FF808080"/>
      <name val="Arial"/>
      <charset val="1"/>
    </font>
    <font>
      <u/>
      <sz val="11"/>
      <color theme="10"/>
      <name val="Calibri"/>
      <family val="2"/>
      <charset val="1"/>
    </font>
    <font>
      <sz val="10"/>
      <name val="Arial"/>
      <family val="2"/>
    </font>
    <font>
      <sz val="11"/>
      <color theme="1"/>
      <name val="Calibri"/>
      <family val="2"/>
    </font>
    <font>
      <sz val="8"/>
      <name val="Calibri"/>
      <family val="2"/>
      <charset val="1"/>
    </font>
    <font>
      <i/>
      <sz val="9"/>
      <color theme="3"/>
      <name val="Aptos"/>
      <family val="2"/>
    </font>
    <font>
      <sz val="9"/>
      <color theme="3"/>
      <name val="Aptos"/>
      <family val="2"/>
    </font>
    <font>
      <b/>
      <sz val="11"/>
      <color rgb="FF1F4E78"/>
      <name val="Arial"/>
      <family val="2"/>
    </font>
    <font>
      <sz val="9"/>
      <color theme="1"/>
      <name val="Calibri"/>
      <family val="2"/>
      <charset val="1"/>
    </font>
  </fonts>
  <fills count="4">
    <fill>
      <patternFill patternType="none"/>
    </fill>
    <fill>
      <patternFill patternType="gray125"/>
    </fill>
    <fill>
      <patternFill patternType="solid">
        <fgColor rgb="FF1F4E78"/>
        <bgColor rgb="FF003366"/>
      </patternFill>
    </fill>
    <fill>
      <patternFill patternType="solid">
        <fgColor rgb="FFFFF2CC"/>
        <bgColor rgb="FFF9F9F9"/>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top/>
      <bottom/>
      <diagonal/>
    </border>
  </borders>
  <cellStyleXfs count="2">
    <xf numFmtId="0" fontId="0" fillId="0" borderId="0"/>
    <xf numFmtId="0" fontId="5" fillId="0" borderId="0" applyNumberFormat="0" applyFill="0" applyBorder="0" applyAlignment="0" applyProtection="0"/>
  </cellStyleXfs>
  <cellXfs count="22">
    <xf numFmtId="0" fontId="0" fillId="0" borderId="0" xfId="0"/>
    <xf numFmtId="0" fontId="1" fillId="0" borderId="0" xfId="0" applyFont="1"/>
    <xf numFmtId="0" fontId="3" fillId="2" borderId="1" xfId="0" applyFont="1" applyFill="1" applyBorder="1" applyAlignment="1">
      <alignment vertical="center" wrapText="1"/>
    </xf>
    <xf numFmtId="0" fontId="0" fillId="3" borderId="1" xfId="0" applyFill="1" applyBorder="1"/>
    <xf numFmtId="0" fontId="2" fillId="0" borderId="1" xfId="0" applyFont="1" applyBorder="1" applyAlignment="1">
      <alignment vertical="top" wrapText="1"/>
    </xf>
    <xf numFmtId="11" fontId="0" fillId="3" borderId="1" xfId="0" applyNumberFormat="1" applyFill="1" applyBorder="1"/>
    <xf numFmtId="0" fontId="5" fillId="3" borderId="1" xfId="1" applyFill="1" applyBorder="1"/>
    <xf numFmtId="0" fontId="6" fillId="0" borderId="1" xfId="0" applyFont="1" applyBorder="1" applyAlignment="1">
      <alignment vertical="top" wrapText="1"/>
    </xf>
    <xf numFmtId="0" fontId="7" fillId="0" borderId="0" xfId="0" applyFont="1" applyAlignment="1">
      <alignment vertical="top" wrapText="1"/>
    </xf>
    <xf numFmtId="0" fontId="6" fillId="0" borderId="1" xfId="0" applyFont="1" applyBorder="1" applyAlignment="1">
      <alignment horizontal="right"/>
    </xf>
    <xf numFmtId="3" fontId="0" fillId="3" borderId="1" xfId="0" applyNumberFormat="1" applyFill="1" applyBorder="1"/>
    <xf numFmtId="0" fontId="9" fillId="0" borderId="0" xfId="0" applyFont="1" applyAlignment="1">
      <alignment vertical="center" wrapText="1"/>
    </xf>
    <xf numFmtId="0" fontId="10" fillId="0" borderId="0" xfId="0" applyFont="1" applyAlignment="1">
      <alignment vertical="center" wrapText="1"/>
    </xf>
    <xf numFmtId="0" fontId="10" fillId="0" borderId="0" xfId="0" applyFont="1" applyAlignment="1">
      <alignment horizontal="left" vertical="center" wrapText="1"/>
    </xf>
    <xf numFmtId="0" fontId="0" fillId="3" borderId="2" xfId="0" applyFill="1" applyBorder="1" applyAlignment="1">
      <alignment vertical="top" wrapText="1"/>
    </xf>
    <xf numFmtId="0" fontId="0" fillId="0" borderId="0" xfId="0" applyAlignment="1">
      <alignment wrapText="1"/>
    </xf>
    <xf numFmtId="0" fontId="11" fillId="0" borderId="0" xfId="0" applyFont="1"/>
    <xf numFmtId="0" fontId="12" fillId="3" borderId="3" xfId="0" applyFont="1" applyFill="1" applyBorder="1" applyAlignment="1">
      <alignment vertical="top" wrapText="1"/>
    </xf>
    <xf numFmtId="0" fontId="12" fillId="3" borderId="0" xfId="0" applyFont="1" applyFill="1" applyAlignment="1">
      <alignment vertical="top" wrapText="1"/>
    </xf>
    <xf numFmtId="0" fontId="12" fillId="3" borderId="3" xfId="0" applyFont="1" applyFill="1" applyBorder="1" applyAlignment="1">
      <alignment horizontal="left" vertical="top" wrapText="1"/>
    </xf>
    <xf numFmtId="0" fontId="12" fillId="3" borderId="0" xfId="0" applyFont="1" applyFill="1" applyAlignment="1">
      <alignment horizontal="left" vertical="top" wrapText="1"/>
    </xf>
    <xf numFmtId="0" fontId="4"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9F9F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878787"/>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Studies per Population / Region</a:t>
            </a:r>
          </a:p>
        </c:rich>
      </c:tx>
      <c:overlay val="0"/>
      <c:spPr>
        <a:noFill/>
        <a:ln w="0">
          <a:noFill/>
        </a:ln>
      </c:spPr>
    </c:title>
    <c:autoTitleDeleted val="0"/>
    <c:plotArea>
      <c:layout/>
      <c:barChart>
        <c:barDir val="col"/>
        <c:grouping val="clustered"/>
        <c:varyColors val="0"/>
        <c:ser>
          <c:idx val="0"/>
          <c:order val="0"/>
          <c:tx>
            <c:strRef>
              <c:f>'3-POPULATION CHART'!$B$1</c:f>
              <c:strCache>
                <c:ptCount val="1"/>
                <c:pt idx="0">
                  <c:v>Number of Studies</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'3-POPULATION CHART'!$A$2:$A$5</c:f>
              <c:strCache>
                <c:ptCount val="4"/>
                <c:pt idx="0">
                  <c:v>African American</c:v>
                </c:pt>
                <c:pt idx="1">
                  <c:v>Sub-Saharan African</c:v>
                </c:pt>
                <c:pt idx="2">
                  <c:v>Cameroonian</c:v>
                </c:pt>
                <c:pt idx="3">
                  <c:v>Tanzanian</c:v>
                </c:pt>
              </c:strCache>
            </c:strRef>
          </c:cat>
          <c:val>
            <c:numRef>
              <c:f>'3-POPULATION CHART'!$B$2:$B$5</c:f>
              <c:numCache>
                <c:formatCode>General</c:formatCode>
                <c:ptCount val="4"/>
                <c:pt idx="0">
                  <c:v>8</c:v>
                </c:pt>
                <c:pt idx="1">
                  <c:v>4</c:v>
                </c:pt>
                <c:pt idx="2">
                  <c:v>2</c:v>
                </c:pt>
                <c:pt idx="3">
                  <c:v>4</c:v>
                </c:pt>
              </c:numCache>
            </c:numRef>
          </c:val>
          <c:extLst>
            <c:ext xmlns:c16="http://schemas.microsoft.com/office/drawing/2014/chart" uri="{C3380CC4-5D6E-409C-BE32-E72D297353CC}">
              <c16:uniqueId val="{00000000-8632-416D-B84A-2D525BA213EF}"/>
            </c:ext>
          </c:extLst>
        </c:ser>
        <c:dLbls>
          <c:showLegendKey val="0"/>
          <c:showVal val="0"/>
          <c:showCatName val="0"/>
          <c:showSerName val="0"/>
          <c:showPercent val="0"/>
          <c:showBubbleSize val="0"/>
        </c:dLbls>
        <c:gapWidth val="150"/>
        <c:axId val="80665469"/>
        <c:axId val="22338002"/>
      </c:barChart>
      <c:catAx>
        <c:axId val="80665469"/>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Population / Region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2338002"/>
        <c:crosses val="autoZero"/>
        <c:auto val="1"/>
        <c:lblAlgn val="ctr"/>
        <c:lblOffset val="100"/>
        <c:noMultiLvlLbl val="0"/>
      </c:catAx>
      <c:valAx>
        <c:axId val="2233800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Number of Studies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066546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13</xdr:col>
      <xdr:colOff>364680</xdr:colOff>
      <xdr:row>7</xdr:row>
      <xdr:rowOff>758936</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ncbi.nlm.nih.gov/pubmed/34283174" TargetMode="External"/><Relationship Id="rId13" Type="http://schemas.openxmlformats.org/officeDocument/2006/relationships/hyperlink" Target="http://www.ncbi.nlm.nih.gov/pubmed/40025045" TargetMode="External"/><Relationship Id="rId18" Type="http://schemas.openxmlformats.org/officeDocument/2006/relationships/hyperlink" Target="http://www.ncbi.nlm.nih.gov/pubmed/25372704" TargetMode="External"/><Relationship Id="rId3" Type="http://schemas.openxmlformats.org/officeDocument/2006/relationships/hyperlink" Target="http://www.ncbi.nlm.nih.gov/pubmed/40025045" TargetMode="External"/><Relationship Id="rId7" Type="http://schemas.openxmlformats.org/officeDocument/2006/relationships/hyperlink" Target="http://www.ncbi.nlm.nih.gov/pubmed/25372704" TargetMode="External"/><Relationship Id="rId12" Type="http://schemas.openxmlformats.org/officeDocument/2006/relationships/hyperlink" Target="http://www.ncbi.nlm.nih.gov/pubmed/40025045" TargetMode="External"/><Relationship Id="rId17" Type="http://schemas.openxmlformats.org/officeDocument/2006/relationships/hyperlink" Target="http://www.ncbi.nlm.nih.gov/pubmed/34283174" TargetMode="External"/><Relationship Id="rId2" Type="http://schemas.openxmlformats.org/officeDocument/2006/relationships/hyperlink" Target="http://www.ncbi.nlm.nih.gov/pubmed/40025045" TargetMode="External"/><Relationship Id="rId16" Type="http://schemas.openxmlformats.org/officeDocument/2006/relationships/hyperlink" Target="http://www.ncbi.nlm.nih.gov/pubmed/34283174" TargetMode="External"/><Relationship Id="rId1" Type="http://schemas.openxmlformats.org/officeDocument/2006/relationships/hyperlink" Target="http://www.ncbi.nlm.nih.gov/pubmed/23406172" TargetMode="External"/><Relationship Id="rId6" Type="http://schemas.openxmlformats.org/officeDocument/2006/relationships/hyperlink" Target="http://www.ncbi.nlm.nih.gov/pubmed/40025045" TargetMode="External"/><Relationship Id="rId11" Type="http://schemas.openxmlformats.org/officeDocument/2006/relationships/hyperlink" Target="http://www.ncbi.nlm.nih.gov/pubmed/21326311" TargetMode="External"/><Relationship Id="rId5" Type="http://schemas.openxmlformats.org/officeDocument/2006/relationships/hyperlink" Target="http://www.ncbi.nlm.nih.gov/pubmed/25042611" TargetMode="External"/><Relationship Id="rId15" Type="http://schemas.openxmlformats.org/officeDocument/2006/relationships/hyperlink" Target="http://www.ncbi.nlm.nih.gov/pubmed/40025045" TargetMode="External"/><Relationship Id="rId10" Type="http://schemas.openxmlformats.org/officeDocument/2006/relationships/hyperlink" Target="http://www.ncbi.nlm.nih.gov/pubmed/21326311" TargetMode="External"/><Relationship Id="rId4" Type="http://schemas.openxmlformats.org/officeDocument/2006/relationships/hyperlink" Target="http://www.ncbi.nlm.nih.gov/pubmed/40025045" TargetMode="External"/><Relationship Id="rId9" Type="http://schemas.openxmlformats.org/officeDocument/2006/relationships/hyperlink" Target="http://www.ncbi.nlm.nih.gov/pubmed/34283174" TargetMode="External"/><Relationship Id="rId14" Type="http://schemas.openxmlformats.org/officeDocument/2006/relationships/hyperlink" Target="http://www.ncbi.nlm.nih.gov/pubmed/40025045"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
  <sheetViews>
    <sheetView showGridLines="0" zoomScale="98" zoomScaleNormal="98" workbookViewId="0">
      <pane ySplit="1" topLeftCell="A8" activePane="bottomLeft" state="frozen"/>
      <selection pane="bottomLeft" activeCell="F25" sqref="F25"/>
    </sheetView>
  </sheetViews>
  <sheetFormatPr defaultColWidth="8.6328125" defaultRowHeight="14.5" x14ac:dyDescent="0.35"/>
  <cols>
    <col min="1" max="1" width="14" customWidth="1"/>
    <col min="2" max="2" width="22" customWidth="1"/>
    <col min="3" max="3" width="12" customWidth="1"/>
    <col min="4" max="4" width="26" customWidth="1"/>
    <col min="5" max="5" width="20" customWidth="1"/>
    <col min="6" max="6" width="24" customWidth="1"/>
    <col min="7" max="7" width="14" customWidth="1"/>
    <col min="8" max="8" width="30" customWidth="1"/>
  </cols>
  <sheetData>
    <row r="1" spans="1:8" ht="27.5" customHeight="1" x14ac:dyDescent="0.35">
      <c r="A1" s="2" t="s">
        <v>0</v>
      </c>
      <c r="B1" s="2" t="s">
        <v>1</v>
      </c>
      <c r="C1" s="2" t="s">
        <v>2</v>
      </c>
      <c r="D1" s="2" t="s">
        <v>3</v>
      </c>
      <c r="E1" s="2" t="s">
        <v>4</v>
      </c>
      <c r="F1" s="2" t="s">
        <v>5</v>
      </c>
      <c r="G1" s="2" t="s">
        <v>6</v>
      </c>
      <c r="H1" s="2" t="s">
        <v>7</v>
      </c>
    </row>
    <row r="2" spans="1:8" x14ac:dyDescent="0.35">
      <c r="A2" s="3" t="s">
        <v>16</v>
      </c>
      <c r="B2" s="3" t="s">
        <v>22</v>
      </c>
      <c r="C2" s="5">
        <v>8.9999999999999996E-7</v>
      </c>
      <c r="D2" s="3" t="s">
        <v>32</v>
      </c>
      <c r="E2" s="3" t="s">
        <v>9</v>
      </c>
      <c r="F2" s="3" t="s">
        <v>40</v>
      </c>
      <c r="G2" s="3">
        <v>1117</v>
      </c>
      <c r="H2" s="6" t="s">
        <v>47</v>
      </c>
    </row>
    <row r="3" spans="1:8" x14ac:dyDescent="0.35">
      <c r="A3" s="3" t="s">
        <v>16</v>
      </c>
      <c r="B3" s="3" t="s">
        <v>23</v>
      </c>
      <c r="C3" s="5">
        <v>7.9999999999999996E-20</v>
      </c>
      <c r="D3" s="3" t="s">
        <v>33</v>
      </c>
      <c r="E3" s="3" t="s">
        <v>60</v>
      </c>
      <c r="F3" s="3" t="s">
        <v>41</v>
      </c>
      <c r="G3" s="3">
        <v>827</v>
      </c>
      <c r="H3" s="6" t="s">
        <v>48</v>
      </c>
    </row>
    <row r="4" spans="1:8" x14ac:dyDescent="0.35">
      <c r="A4" s="3" t="s">
        <v>16</v>
      </c>
      <c r="B4" s="3" t="s">
        <v>24</v>
      </c>
      <c r="C4" s="5">
        <v>3.9999999999999998E-36</v>
      </c>
      <c r="D4" s="3" t="s">
        <v>33</v>
      </c>
      <c r="E4" s="3" t="s">
        <v>59</v>
      </c>
      <c r="F4" s="3" t="s">
        <v>41</v>
      </c>
      <c r="G4" s="3">
        <v>884</v>
      </c>
      <c r="H4" s="6" t="s">
        <v>48</v>
      </c>
    </row>
    <row r="5" spans="1:8" x14ac:dyDescent="0.35">
      <c r="A5" s="3" t="s">
        <v>16</v>
      </c>
      <c r="B5" s="3" t="s">
        <v>24</v>
      </c>
      <c r="C5" s="5">
        <v>2E-50</v>
      </c>
      <c r="D5" s="3" t="s">
        <v>33</v>
      </c>
      <c r="E5" s="3" t="s">
        <v>20</v>
      </c>
      <c r="F5" s="3" t="s">
        <v>41</v>
      </c>
      <c r="G5" s="3">
        <v>1711</v>
      </c>
      <c r="H5" s="6" t="s">
        <v>48</v>
      </c>
    </row>
    <row r="6" spans="1:8" x14ac:dyDescent="0.35">
      <c r="A6" s="3" t="s">
        <v>16</v>
      </c>
      <c r="B6" s="3" t="s">
        <v>22</v>
      </c>
      <c r="C6" s="5">
        <v>2E-100</v>
      </c>
      <c r="D6" s="3" t="s">
        <v>33</v>
      </c>
      <c r="E6" s="3" t="s">
        <v>20</v>
      </c>
      <c r="F6" s="3" t="s">
        <v>41</v>
      </c>
      <c r="G6" s="3">
        <v>1711</v>
      </c>
      <c r="H6" s="6" t="s">
        <v>48</v>
      </c>
    </row>
    <row r="7" spans="1:8" x14ac:dyDescent="0.35">
      <c r="A7" s="3" t="s">
        <v>16</v>
      </c>
      <c r="B7" s="3" t="s">
        <v>22</v>
      </c>
      <c r="C7" s="3">
        <v>3E-10</v>
      </c>
      <c r="D7" s="3" t="s">
        <v>34</v>
      </c>
      <c r="E7" s="3" t="s">
        <v>9</v>
      </c>
      <c r="F7" s="3" t="s">
        <v>42</v>
      </c>
      <c r="G7" s="3">
        <v>618</v>
      </c>
      <c r="H7" s="6" t="s">
        <v>49</v>
      </c>
    </row>
    <row r="8" spans="1:8" x14ac:dyDescent="0.35">
      <c r="A8" s="3" t="s">
        <v>16</v>
      </c>
      <c r="B8" s="3" t="s">
        <v>24</v>
      </c>
      <c r="C8" s="5">
        <v>4.0000000000000001E-53</v>
      </c>
      <c r="D8" s="3" t="s">
        <v>35</v>
      </c>
      <c r="E8" s="3" t="s">
        <v>59</v>
      </c>
      <c r="F8" s="3" t="s">
        <v>41</v>
      </c>
      <c r="G8" s="3">
        <v>1213</v>
      </c>
      <c r="H8" s="6" t="s">
        <v>50</v>
      </c>
    </row>
    <row r="9" spans="1:8" x14ac:dyDescent="0.35">
      <c r="A9" s="3" t="s">
        <v>16</v>
      </c>
      <c r="B9" s="3" t="s">
        <v>25</v>
      </c>
      <c r="C9" s="5">
        <v>2.0000000000000001E-26</v>
      </c>
      <c r="D9" s="3" t="s">
        <v>36</v>
      </c>
      <c r="E9" s="3" t="s">
        <v>9</v>
      </c>
      <c r="F9" s="3" t="s">
        <v>43</v>
      </c>
      <c r="G9" s="3">
        <v>584</v>
      </c>
      <c r="H9" s="6" t="s">
        <v>51</v>
      </c>
    </row>
    <row r="10" spans="1:8" x14ac:dyDescent="0.35">
      <c r="A10" s="3" t="s">
        <v>16</v>
      </c>
      <c r="B10" s="3" t="s">
        <v>24</v>
      </c>
      <c r="C10" s="5">
        <v>2.0000000000000001E-25</v>
      </c>
      <c r="D10" s="3" t="s">
        <v>36</v>
      </c>
      <c r="E10" s="3" t="s">
        <v>9</v>
      </c>
      <c r="F10" s="3" t="s">
        <v>44</v>
      </c>
      <c r="G10" s="3">
        <v>584</v>
      </c>
      <c r="H10" s="6" t="s">
        <v>51</v>
      </c>
    </row>
    <row r="11" spans="1:8" x14ac:dyDescent="0.35">
      <c r="A11" s="3" t="s">
        <v>16</v>
      </c>
      <c r="B11" s="3" t="s">
        <v>26</v>
      </c>
      <c r="C11" s="5">
        <v>1.9999999999999999E-7</v>
      </c>
      <c r="D11" s="3" t="s">
        <v>37</v>
      </c>
      <c r="E11" s="3" t="s">
        <v>9</v>
      </c>
      <c r="F11" s="3" t="s">
        <v>45</v>
      </c>
      <c r="G11" s="3">
        <v>440</v>
      </c>
      <c r="H11" s="6" t="s">
        <v>52</v>
      </c>
    </row>
    <row r="12" spans="1:8" x14ac:dyDescent="0.35">
      <c r="A12" s="3" t="s">
        <v>16</v>
      </c>
      <c r="B12" s="3" t="s">
        <v>26</v>
      </c>
      <c r="C12" s="3">
        <v>2E-16</v>
      </c>
      <c r="D12" s="3" t="s">
        <v>37</v>
      </c>
      <c r="E12" s="3" t="s">
        <v>9</v>
      </c>
      <c r="F12" s="3" t="s">
        <v>45</v>
      </c>
      <c r="G12" s="3">
        <v>440</v>
      </c>
      <c r="H12" s="6" t="s">
        <v>52</v>
      </c>
    </row>
    <row r="13" spans="1:8" x14ac:dyDescent="0.35">
      <c r="A13" s="3" t="s">
        <v>18</v>
      </c>
      <c r="B13" s="3" t="s">
        <v>27</v>
      </c>
      <c r="C13" s="5">
        <v>2E-8</v>
      </c>
      <c r="D13" s="3" t="s">
        <v>33</v>
      </c>
      <c r="E13" s="3" t="s">
        <v>60</v>
      </c>
      <c r="F13" s="3" t="s">
        <v>41</v>
      </c>
      <c r="G13" s="3">
        <v>827</v>
      </c>
      <c r="H13" s="6" t="s">
        <v>48</v>
      </c>
    </row>
    <row r="14" spans="1:8" x14ac:dyDescent="0.35">
      <c r="A14" s="3" t="s">
        <v>18</v>
      </c>
      <c r="B14" s="3" t="s">
        <v>28</v>
      </c>
      <c r="C14" s="5">
        <v>1.0000000000000001E-9</v>
      </c>
      <c r="D14" s="3" t="s">
        <v>38</v>
      </c>
      <c r="E14" s="3" t="s">
        <v>59</v>
      </c>
      <c r="F14" s="3" t="s">
        <v>41</v>
      </c>
      <c r="G14" s="3">
        <v>884</v>
      </c>
      <c r="H14" s="6" t="s">
        <v>48</v>
      </c>
    </row>
    <row r="15" spans="1:8" x14ac:dyDescent="0.35">
      <c r="A15" s="3" t="s">
        <v>18</v>
      </c>
      <c r="B15" s="3" t="s">
        <v>28</v>
      </c>
      <c r="C15" s="3">
        <v>2E-16</v>
      </c>
      <c r="D15" s="3" t="s">
        <v>38</v>
      </c>
      <c r="E15" s="3" t="s">
        <v>20</v>
      </c>
      <c r="F15" s="3" t="s">
        <v>41</v>
      </c>
      <c r="G15" s="3">
        <v>1711</v>
      </c>
      <c r="H15" s="6" t="s">
        <v>48</v>
      </c>
    </row>
    <row r="16" spans="1:8" x14ac:dyDescent="0.35">
      <c r="A16" s="3" t="s">
        <v>18</v>
      </c>
      <c r="B16" s="3" t="s">
        <v>27</v>
      </c>
      <c r="C16" s="5">
        <v>3.9999999999999998E-29</v>
      </c>
      <c r="D16" s="3" t="s">
        <v>38</v>
      </c>
      <c r="E16" s="3" t="s">
        <v>20</v>
      </c>
      <c r="F16" s="3" t="s">
        <v>41</v>
      </c>
      <c r="G16" s="10">
        <v>1711</v>
      </c>
      <c r="H16" s="6" t="s">
        <v>48</v>
      </c>
    </row>
    <row r="17" spans="1:8" x14ac:dyDescent="0.35">
      <c r="A17" s="3" t="s">
        <v>18</v>
      </c>
      <c r="B17" s="3" t="s">
        <v>29</v>
      </c>
      <c r="C17" s="5">
        <v>6.9999999999999999E-6</v>
      </c>
      <c r="D17" s="3" t="s">
        <v>36</v>
      </c>
      <c r="E17" s="3" t="s">
        <v>9</v>
      </c>
      <c r="F17" s="3" t="s">
        <v>46</v>
      </c>
      <c r="G17" s="3">
        <v>584</v>
      </c>
      <c r="H17" s="6" t="s">
        <v>51</v>
      </c>
    </row>
    <row r="18" spans="1:8" x14ac:dyDescent="0.35">
      <c r="A18" s="3" t="s">
        <v>18</v>
      </c>
      <c r="B18" s="3" t="s">
        <v>30</v>
      </c>
      <c r="C18" s="3">
        <v>1E-10</v>
      </c>
      <c r="D18" s="3" t="s">
        <v>36</v>
      </c>
      <c r="E18" s="3" t="s">
        <v>9</v>
      </c>
      <c r="F18" s="3" t="s">
        <v>44</v>
      </c>
      <c r="G18" s="3">
        <v>584</v>
      </c>
      <c r="H18" s="6" t="s">
        <v>51</v>
      </c>
    </row>
    <row r="19" spans="1:8" x14ac:dyDescent="0.35">
      <c r="A19" s="3" t="s">
        <v>18</v>
      </c>
      <c r="B19" s="3" t="s">
        <v>31</v>
      </c>
      <c r="C19" s="3">
        <v>2.0000000000000001E-10</v>
      </c>
      <c r="D19" s="3" t="s">
        <v>39</v>
      </c>
      <c r="E19" s="3" t="s">
        <v>59</v>
      </c>
      <c r="F19" s="3" t="s">
        <v>41</v>
      </c>
      <c r="G19" s="3">
        <v>1213</v>
      </c>
      <c r="H19" s="6" t="s">
        <v>50</v>
      </c>
    </row>
  </sheetData>
  <phoneticPr fontId="8" type="noConversion"/>
  <hyperlinks>
    <hyperlink ref="H2" r:id="rId1" xr:uid="{050E501C-2316-40E7-AF2A-405EA98043EA}"/>
    <hyperlink ref="H3" r:id="rId2" xr:uid="{F88E519B-149B-4FAB-B9E6-337FB6B9A175}"/>
    <hyperlink ref="H4" r:id="rId3" xr:uid="{7438C68F-398D-437E-9C0E-C89B82169780}"/>
    <hyperlink ref="H5" r:id="rId4" xr:uid="{86F8DE4A-B3DB-44EF-AF64-4DFE34427BEA}"/>
    <hyperlink ref="H7" r:id="rId5" xr:uid="{815D57AF-1271-4F34-8D11-2D4591A3B818}"/>
    <hyperlink ref="H6" r:id="rId6" xr:uid="{A00235EB-7076-443B-9D37-D085A8C0E3EA}"/>
    <hyperlink ref="H8" r:id="rId7" xr:uid="{39341675-58B7-430C-BF86-9D39D153C92D}"/>
    <hyperlink ref="H9" r:id="rId8" xr:uid="{0079150B-E14A-430B-9DE6-78600E5C8843}"/>
    <hyperlink ref="H10" r:id="rId9" xr:uid="{01AD3FE6-AE7F-417D-B7BC-FA2EA3DA588C}"/>
    <hyperlink ref="H11" r:id="rId10" xr:uid="{59CA8C54-7034-4816-8C40-BDC7388EF389}"/>
    <hyperlink ref="H12" r:id="rId11" xr:uid="{2BDF3E94-8B6E-4059-913D-32D78FB38104}"/>
    <hyperlink ref="H13" r:id="rId12" xr:uid="{F5445DAF-63AA-4893-927C-C41325A28A4B}"/>
    <hyperlink ref="H14" r:id="rId13" xr:uid="{A49248A2-7E75-462D-9DFD-185639509DEC}"/>
    <hyperlink ref="H15" r:id="rId14" xr:uid="{336AEC44-405F-4014-8B7F-306A41BB6715}"/>
    <hyperlink ref="H16" r:id="rId15" xr:uid="{B89BDB9D-283A-4851-9E01-332D4749BC9D}"/>
    <hyperlink ref="H17" r:id="rId16" xr:uid="{3501AE5D-0708-4A0D-A7A5-0D602787EC73}"/>
    <hyperlink ref="H18" r:id="rId17" xr:uid="{4B5D3E50-AFEE-476D-AE2E-557373EF7CBB}"/>
    <hyperlink ref="H19" r:id="rId18" xr:uid="{2239F232-E800-4948-8D00-CF3FEF554DF1}"/>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
  <sheetViews>
    <sheetView showGridLines="0" zoomScaleNormal="100" workbookViewId="0">
      <pane ySplit="1" topLeftCell="A2" activePane="bottomLeft" state="frozen"/>
      <selection pane="bottomLeft" activeCell="D14" sqref="D14"/>
    </sheetView>
  </sheetViews>
  <sheetFormatPr defaultColWidth="8.6328125" defaultRowHeight="14.5" x14ac:dyDescent="0.35"/>
  <cols>
    <col min="1" max="1" width="16" customWidth="1"/>
    <col min="2" max="2" width="24" customWidth="1"/>
    <col min="3" max="3" width="16" customWidth="1"/>
    <col min="4" max="4" width="26" customWidth="1"/>
    <col min="5" max="5" width="55" customWidth="1"/>
  </cols>
  <sheetData>
    <row r="1" spans="1:5" ht="30" customHeight="1" x14ac:dyDescent="0.35">
      <c r="A1" s="2" t="s">
        <v>10</v>
      </c>
      <c r="B1" s="2" t="s">
        <v>11</v>
      </c>
      <c r="C1" s="2" t="s">
        <v>12</v>
      </c>
      <c r="D1" s="2" t="s">
        <v>13</v>
      </c>
      <c r="E1" s="2" t="s">
        <v>14</v>
      </c>
    </row>
    <row r="2" spans="1:5" ht="48" customHeight="1" x14ac:dyDescent="0.35">
      <c r="A2" s="7" t="s">
        <v>8</v>
      </c>
      <c r="B2" s="4" t="s">
        <v>15</v>
      </c>
      <c r="C2" s="9" t="s">
        <v>53</v>
      </c>
      <c r="D2" s="7" t="s">
        <v>55</v>
      </c>
      <c r="E2" s="7" t="s">
        <v>56</v>
      </c>
    </row>
    <row r="3" spans="1:5" ht="48" customHeight="1" x14ac:dyDescent="0.35">
      <c r="A3" s="4" t="s">
        <v>16</v>
      </c>
      <c r="B3" s="4" t="s">
        <v>17</v>
      </c>
      <c r="C3" s="4">
        <f>COUNTIF('1-GWAS DATA'!A:A,A3)</f>
        <v>11</v>
      </c>
      <c r="D3" s="8" t="s">
        <v>54</v>
      </c>
      <c r="E3" s="7" t="s">
        <v>57</v>
      </c>
    </row>
    <row r="4" spans="1:5" ht="48" customHeight="1" x14ac:dyDescent="0.35">
      <c r="A4" s="4" t="s">
        <v>18</v>
      </c>
      <c r="B4" s="4" t="s">
        <v>17</v>
      </c>
      <c r="C4" s="4">
        <f>COUNTIF('1-GWAS DATA'!A:A,A4)</f>
        <v>7</v>
      </c>
      <c r="D4" s="7" t="s">
        <v>54</v>
      </c>
      <c r="E4" s="7" t="s">
        <v>58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showGridLines="0" zoomScale="95" zoomScaleNormal="95" workbookViewId="0">
      <pane ySplit="1" topLeftCell="A2" activePane="bottomLeft" state="frozen"/>
      <selection pane="bottomLeft" activeCell="B1" sqref="B1"/>
    </sheetView>
  </sheetViews>
  <sheetFormatPr defaultColWidth="8.6328125" defaultRowHeight="14.5" x14ac:dyDescent="0.35"/>
  <cols>
    <col min="1" max="1" width="26" customWidth="1"/>
    <col min="2" max="2" width="18" customWidth="1"/>
  </cols>
  <sheetData>
    <row r="1" spans="1:5" ht="30" customHeight="1" x14ac:dyDescent="0.35">
      <c r="A1" s="2" t="s">
        <v>19</v>
      </c>
      <c r="B1" s="2" t="s">
        <v>12</v>
      </c>
    </row>
    <row r="2" spans="1:5" x14ac:dyDescent="0.35">
      <c r="A2" s="3" t="s">
        <v>9</v>
      </c>
      <c r="B2" s="3">
        <f>COUNTIF('1-GWAS DATA'!E:E,A2)</f>
        <v>8</v>
      </c>
    </row>
    <row r="3" spans="1:5" x14ac:dyDescent="0.35">
      <c r="A3" s="3" t="s">
        <v>20</v>
      </c>
      <c r="B3" s="3">
        <f>COUNTIF('1-GWAS DATA'!E:E,A3)</f>
        <v>4</v>
      </c>
    </row>
    <row r="4" spans="1:5" x14ac:dyDescent="0.35">
      <c r="A4" s="3" t="s">
        <v>60</v>
      </c>
      <c r="B4" s="3">
        <f>COUNTIF('1-GWAS DATA'!E:E,A4)</f>
        <v>2</v>
      </c>
    </row>
    <row r="5" spans="1:5" x14ac:dyDescent="0.35">
      <c r="A5" s="3" t="s">
        <v>59</v>
      </c>
      <c r="B5" s="3">
        <f>COUNTIF('1-GWAS DATA'!E:E,A5)</f>
        <v>4</v>
      </c>
    </row>
    <row r="6" spans="1:5" s="11" customFormat="1" ht="109" customHeight="1" x14ac:dyDescent="0.35">
      <c r="A6" s="11" t="s">
        <v>61</v>
      </c>
    </row>
    <row r="7" spans="1:5" ht="22.4" customHeight="1" x14ac:dyDescent="0.35">
      <c r="A7" s="21"/>
      <c r="B7" s="21"/>
      <c r="C7" s="21"/>
      <c r="D7" s="21"/>
      <c r="E7" s="21"/>
    </row>
    <row r="8" spans="1:5" s="12" customFormat="1" ht="132" x14ac:dyDescent="0.35">
      <c r="A8" s="13" t="s">
        <v>62</v>
      </c>
    </row>
  </sheetData>
  <mergeCells count="1">
    <mergeCell ref="A7:E7"/>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8"/>
  <sheetViews>
    <sheetView showGridLines="0" tabSelected="1" zoomScaleNormal="100" workbookViewId="0">
      <selection activeCell="A10" sqref="A10:D10"/>
    </sheetView>
  </sheetViews>
  <sheetFormatPr defaultColWidth="200.6328125" defaultRowHeight="14.5" x14ac:dyDescent="0.35"/>
  <cols>
    <col min="1" max="5" width="35.6328125" customWidth="1"/>
  </cols>
  <sheetData>
    <row r="1" spans="1:16" ht="18" x14ac:dyDescent="0.4">
      <c r="A1" s="1" t="s">
        <v>21</v>
      </c>
    </row>
    <row r="2" spans="1:16" ht="2.5" customHeight="1" x14ac:dyDescent="0.35"/>
    <row r="3" spans="1:16" x14ac:dyDescent="0.35">
      <c r="A3" s="16" t="s">
        <v>72</v>
      </c>
    </row>
    <row r="4" spans="1:16" s="14" customFormat="1" ht="75" customHeight="1" x14ac:dyDescent="0.35">
      <c r="A4" s="19" t="s">
        <v>74</v>
      </c>
      <c r="B4" s="20"/>
      <c r="C4" s="20"/>
      <c r="D4" s="20"/>
      <c r="E4"/>
      <c r="F4"/>
      <c r="G4"/>
      <c r="H4"/>
      <c r="I4"/>
      <c r="J4"/>
      <c r="K4"/>
      <c r="L4"/>
      <c r="M4"/>
      <c r="N4"/>
      <c r="O4"/>
      <c r="P4"/>
    </row>
    <row r="6" spans="1:16" x14ac:dyDescent="0.35">
      <c r="A6" s="16" t="s">
        <v>71</v>
      </c>
    </row>
    <row r="7" spans="1:16" s="15" customFormat="1" ht="60" customHeight="1" x14ac:dyDescent="0.35">
      <c r="A7" s="19" t="s">
        <v>63</v>
      </c>
      <c r="B7" s="20"/>
      <c r="C7" s="20"/>
      <c r="D7" s="20"/>
      <c r="E7"/>
      <c r="F7"/>
      <c r="G7"/>
      <c r="H7"/>
      <c r="I7"/>
      <c r="J7"/>
      <c r="K7"/>
      <c r="L7"/>
      <c r="M7"/>
      <c r="N7"/>
      <c r="O7"/>
      <c r="P7"/>
    </row>
    <row r="9" spans="1:16" x14ac:dyDescent="0.35">
      <c r="A9" s="16" t="s">
        <v>70</v>
      </c>
    </row>
    <row r="10" spans="1:16" s="15" customFormat="1" ht="40" customHeight="1" x14ac:dyDescent="0.35">
      <c r="A10" s="19" t="s">
        <v>64</v>
      </c>
      <c r="B10" s="20"/>
      <c r="C10" s="20"/>
      <c r="D10" s="20"/>
      <c r="F10"/>
      <c r="G10"/>
      <c r="H10"/>
      <c r="I10"/>
      <c r="J10"/>
      <c r="K10"/>
      <c r="L10"/>
      <c r="M10"/>
      <c r="N10"/>
      <c r="O10"/>
      <c r="P10"/>
    </row>
    <row r="11" spans="1:16" x14ac:dyDescent="0.35">
      <c r="A11" s="16" t="s">
        <v>69</v>
      </c>
    </row>
    <row r="12" spans="1:16" s="15" customFormat="1" ht="40" customHeight="1" x14ac:dyDescent="0.35">
      <c r="A12" s="17" t="s">
        <v>65</v>
      </c>
      <c r="B12" s="18"/>
      <c r="C12" s="18"/>
      <c r="D12" s="18"/>
      <c r="F12"/>
      <c r="G12"/>
      <c r="H12"/>
      <c r="I12"/>
      <c r="J12"/>
      <c r="K12"/>
      <c r="L12"/>
      <c r="M12"/>
      <c r="N12"/>
      <c r="O12"/>
      <c r="P12"/>
    </row>
    <row r="14" spans="1:16" x14ac:dyDescent="0.35">
      <c r="A14" s="16" t="s">
        <v>68</v>
      </c>
    </row>
    <row r="15" spans="1:16" s="15" customFormat="1" ht="25" customHeight="1" x14ac:dyDescent="0.35">
      <c r="A15" s="17" t="s">
        <v>73</v>
      </c>
      <c r="B15" s="18"/>
      <c r="C15" s="18"/>
      <c r="D15" s="18"/>
      <c r="F15"/>
      <c r="G15"/>
      <c r="H15"/>
      <c r="I15"/>
      <c r="J15"/>
      <c r="K15"/>
      <c r="L15"/>
      <c r="M15"/>
      <c r="N15"/>
      <c r="O15"/>
      <c r="P15"/>
    </row>
    <row r="17" spans="1:16" x14ac:dyDescent="0.35">
      <c r="A17" s="16" t="s">
        <v>67</v>
      </c>
    </row>
    <row r="18" spans="1:16" s="15" customFormat="1" ht="55" customHeight="1" x14ac:dyDescent="0.35">
      <c r="A18" s="17" t="s">
        <v>66</v>
      </c>
      <c r="B18" s="18"/>
      <c r="C18" s="18"/>
      <c r="D18" s="18"/>
      <c r="F18"/>
      <c r="G18"/>
      <c r="H18"/>
      <c r="I18"/>
      <c r="J18"/>
      <c r="K18"/>
      <c r="L18"/>
      <c r="M18"/>
      <c r="N18"/>
      <c r="O18"/>
      <c r="P18"/>
    </row>
  </sheetData>
  <mergeCells count="6">
    <mergeCell ref="A15:D15"/>
    <mergeCell ref="A18:D18"/>
    <mergeCell ref="A4:D4"/>
    <mergeCell ref="A7:D7"/>
    <mergeCell ref="A10:D10"/>
    <mergeCell ref="A12:D1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1-GWAS DATA</vt:lpstr>
      <vt:lpstr>2-GENE TABLE</vt:lpstr>
      <vt:lpstr>3-POPULATION CHART</vt:lpstr>
      <vt:lpstr>4-INTERPRETATION &amp;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Sibtul Zahra</cp:lastModifiedBy>
  <cp:revision>1</cp:revision>
  <dcterms:created xsi:type="dcterms:W3CDTF">2026-09-10T09:13:47Z</dcterms:created>
  <dcterms:modified xsi:type="dcterms:W3CDTF">2026-09-26T16:08:50Z</dcterms:modified>
  <dc:language>en-US</dc:language>
</cp:coreProperties>
</file>